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uxin\Documents\Midi-Bass-Guitar\"/>
    </mc:Choice>
  </mc:AlternateContent>
  <xr:revisionPtr revIDLastSave="0" documentId="13_ncr:1_{E7C9A2A1-4427-46D2-8C8B-6C2C8ACB558A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W1" sheetId="1" r:id="rId1"/>
    <sheet name="W2" sheetId="2" r:id="rId2"/>
    <sheet name="W3" sheetId="3" r:id="rId3"/>
    <sheet name="W4" sheetId="4" r:id="rId4"/>
    <sheet name="W5" sheetId="5" r:id="rId5"/>
    <sheet name="Sem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6" l="1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5" i="6"/>
  <c r="F4" i="6"/>
  <c r="E5" i="5"/>
  <c r="E11" i="5"/>
  <c r="E10" i="5"/>
  <c r="E9" i="5"/>
  <c r="E8" i="5"/>
  <c r="E7" i="5"/>
  <c r="E6" i="5"/>
  <c r="E4" i="5"/>
  <c r="E13" i="4"/>
  <c r="E12" i="4"/>
  <c r="E11" i="4"/>
  <c r="E10" i="4"/>
  <c r="E9" i="4"/>
  <c r="E8" i="4"/>
  <c r="E7" i="4"/>
  <c r="E6" i="4"/>
  <c r="E5" i="4"/>
  <c r="E4" i="4"/>
  <c r="E13" i="3"/>
  <c r="E12" i="3"/>
  <c r="E11" i="3"/>
  <c r="E10" i="3"/>
  <c r="E9" i="3"/>
  <c r="E8" i="3"/>
  <c r="E7" i="3"/>
  <c r="E6" i="3"/>
  <c r="E5" i="3"/>
  <c r="E4" i="3"/>
  <c r="E17" i="1"/>
  <c r="E13" i="2"/>
  <c r="E12" i="2"/>
  <c r="E11" i="2"/>
  <c r="E10" i="2"/>
  <c r="E9" i="2"/>
  <c r="E8" i="2"/>
  <c r="E7" i="2"/>
  <c r="E6" i="2"/>
  <c r="E5" i="2"/>
  <c r="E4" i="2"/>
  <c r="E5" i="1"/>
  <c r="E6" i="1"/>
  <c r="E7" i="1"/>
  <c r="E8" i="1"/>
  <c r="E9" i="1"/>
  <c r="E10" i="1"/>
  <c r="E11" i="1"/>
  <c r="E12" i="1"/>
  <c r="E13" i="1"/>
  <c r="E14" i="1"/>
  <c r="E15" i="1"/>
  <c r="E16" i="1"/>
  <c r="E4" i="1"/>
  <c r="E14" i="5" l="1"/>
  <c r="E14" i="4"/>
  <c r="E14" i="3"/>
  <c r="E14" i="2"/>
</calcChain>
</file>

<file path=xl/sharedStrings.xml><?xml version="1.0" encoding="utf-8"?>
<sst xmlns="http://schemas.openxmlformats.org/spreadsheetml/2006/main" count="123" uniqueCount="37">
  <si>
    <t>Date</t>
  </si>
  <si>
    <t>Clock-In</t>
  </si>
  <si>
    <t>Clock-Out</t>
  </si>
  <si>
    <t>Time(hrs)</t>
  </si>
  <si>
    <t>Description</t>
  </si>
  <si>
    <t>breadboarding</t>
  </si>
  <si>
    <t>git branch organization</t>
  </si>
  <si>
    <t>finished breadboarding</t>
  </si>
  <si>
    <t>figuring out midi</t>
  </si>
  <si>
    <t>I2C troubleshooting</t>
  </si>
  <si>
    <t>Justin Week One Hours</t>
  </si>
  <si>
    <t>Justin Week Two Hours</t>
  </si>
  <si>
    <t>Finalizing Fret Slave</t>
  </si>
  <si>
    <t>Investigationg MIDI over IR</t>
  </si>
  <si>
    <t>Total:</t>
  </si>
  <si>
    <t>Write up for MIDI over IR</t>
  </si>
  <si>
    <t>Write up for fret slave</t>
  </si>
  <si>
    <t>Justin Week Three Hours</t>
  </si>
  <si>
    <t>Justin Week Four Hours</t>
  </si>
  <si>
    <t>Justin Week Five Hours</t>
  </si>
  <si>
    <t>Soldering Amplifier Board</t>
  </si>
  <si>
    <t xml:space="preserve">Writing Presentation </t>
  </si>
  <si>
    <t>Week#</t>
  </si>
  <si>
    <t>In</t>
  </si>
  <si>
    <t>Out</t>
  </si>
  <si>
    <t>IR Tx Board Design</t>
  </si>
  <si>
    <t>Time</t>
  </si>
  <si>
    <t>Link</t>
  </si>
  <si>
    <t>Part</t>
  </si>
  <si>
    <t>2Ω Power Resistor</t>
  </si>
  <si>
    <t>https://www.mouser.com/ProductDetail/Bourns/PWR220T-20-2R00F?qs=sGAEpiMZZMtlubZbdhIBIIFas8kKGM5fidmq4iLVFG8%3D</t>
  </si>
  <si>
    <t>IR Rx Circuit Design</t>
  </si>
  <si>
    <t>Bass Fret Bar Design</t>
  </si>
  <si>
    <t xml:space="preserve">Equipment Maintenance </t>
  </si>
  <si>
    <t>Administration</t>
  </si>
  <si>
    <t>CAD work</t>
  </si>
  <si>
    <t>Designing SUDO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</si>
</sst>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#0.000E+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20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14" fontId="0" fillId="0" borderId="2" xfId="0" applyNumberFormat="1" applyBorder="1" applyAlignment="1">
      <alignment horizontal="right" vertical="center"/>
    </xf>
    <xf numFmtId="20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user.com/ProductDetail/Bourns/PWR220T-20-2R00F?qs=sGAEpiMZZMtlubZbdhIBIIFas8kKGM5fidmq4iLVFG8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4"/>
  <sheetViews>
    <sheetView workbookViewId="0">
      <selection activeCell="E18" sqref="E18"/>
    </sheetView>
  </sheetViews>
  <sheetFormatPr defaultColWidth="10.7109375" defaultRowHeight="15" x14ac:dyDescent="0.25"/>
  <cols>
    <col min="1" max="16384" width="10.7109375" style="1"/>
  </cols>
  <sheetData>
    <row r="2" spans="2:9" x14ac:dyDescent="0.25">
      <c r="B2" s="19" t="s">
        <v>10</v>
      </c>
      <c r="C2" s="19"/>
      <c r="D2" s="19"/>
      <c r="E2" s="19"/>
      <c r="F2" s="19"/>
      <c r="G2" s="19"/>
      <c r="H2" s="19"/>
      <c r="I2" s="19"/>
    </row>
    <row r="3" spans="2:9" x14ac:dyDescent="0.25">
      <c r="B3" s="2" t="s">
        <v>0</v>
      </c>
      <c r="C3" s="2" t="s">
        <v>1</v>
      </c>
      <c r="D3" s="2" t="s">
        <v>2</v>
      </c>
      <c r="E3" s="2" t="s">
        <v>3</v>
      </c>
      <c r="F3" s="19" t="s">
        <v>4</v>
      </c>
      <c r="G3" s="19"/>
      <c r="H3" s="19"/>
      <c r="I3" s="19"/>
    </row>
    <row r="4" spans="2:9" x14ac:dyDescent="0.25">
      <c r="B4" s="3">
        <v>45754</v>
      </c>
      <c r="C4" s="4">
        <v>0.41666666666666669</v>
      </c>
      <c r="D4" s="4">
        <v>0.45833333333333331</v>
      </c>
      <c r="E4" s="2">
        <f>ABS((D4-C4)*24)</f>
        <v>0.99999999999999911</v>
      </c>
      <c r="F4" s="19" t="s">
        <v>5</v>
      </c>
      <c r="G4" s="19"/>
      <c r="H4" s="19"/>
      <c r="I4" s="19"/>
    </row>
    <row r="5" spans="2:9" x14ac:dyDescent="0.25">
      <c r="B5" s="3">
        <v>45754</v>
      </c>
      <c r="C5" s="4">
        <v>0.55208333333333337</v>
      </c>
      <c r="D5" s="4">
        <v>0.60416666666666663</v>
      </c>
      <c r="E5" s="2">
        <f t="shared" ref="E5:E16" si="0">ABS((D5-C5)*24)</f>
        <v>1.2499999999999982</v>
      </c>
      <c r="F5" s="19" t="s">
        <v>6</v>
      </c>
      <c r="G5" s="19"/>
      <c r="H5" s="19"/>
      <c r="I5" s="19"/>
    </row>
    <row r="6" spans="2:9" x14ac:dyDescent="0.25">
      <c r="B6" s="3">
        <v>45755</v>
      </c>
      <c r="C6" s="4">
        <v>0.54166666666666663</v>
      </c>
      <c r="D6" s="4">
        <v>0.60416666666666663</v>
      </c>
      <c r="E6" s="2">
        <f t="shared" si="0"/>
        <v>1.5</v>
      </c>
      <c r="F6" s="19" t="s">
        <v>7</v>
      </c>
      <c r="G6" s="19"/>
      <c r="H6" s="19"/>
      <c r="I6" s="19"/>
    </row>
    <row r="7" spans="2:9" x14ac:dyDescent="0.25">
      <c r="B7" s="3">
        <v>45756</v>
      </c>
      <c r="C7" s="4">
        <v>0.41666666666666669</v>
      </c>
      <c r="D7" s="4">
        <v>0.5</v>
      </c>
      <c r="E7" s="2">
        <f t="shared" si="0"/>
        <v>1.9999999999999996</v>
      </c>
      <c r="F7" s="19" t="s">
        <v>8</v>
      </c>
      <c r="G7" s="19"/>
      <c r="H7" s="19"/>
      <c r="I7" s="19"/>
    </row>
    <row r="8" spans="2:9" x14ac:dyDescent="0.25">
      <c r="B8" s="3">
        <v>45756</v>
      </c>
      <c r="C8" s="4">
        <v>0.55208333333333337</v>
      </c>
      <c r="D8" s="4">
        <v>0.625</v>
      </c>
      <c r="E8" s="2">
        <f t="shared" si="0"/>
        <v>1.7499999999999991</v>
      </c>
      <c r="F8" s="19" t="s">
        <v>9</v>
      </c>
      <c r="G8" s="19"/>
      <c r="H8" s="19"/>
      <c r="I8" s="19"/>
    </row>
    <row r="9" spans="2:9" x14ac:dyDescent="0.25">
      <c r="B9" s="3">
        <v>45757</v>
      </c>
      <c r="C9" s="4">
        <v>0.41666666666666669</v>
      </c>
      <c r="D9" s="4">
        <v>0.45833333333333331</v>
      </c>
      <c r="E9" s="2">
        <f t="shared" si="0"/>
        <v>0.99999999999999911</v>
      </c>
      <c r="F9" s="19" t="s">
        <v>9</v>
      </c>
      <c r="G9" s="19"/>
      <c r="H9" s="19"/>
      <c r="I9" s="19"/>
    </row>
    <row r="10" spans="2:9" x14ac:dyDescent="0.25">
      <c r="B10" s="3">
        <v>45757</v>
      </c>
      <c r="C10" s="4">
        <v>0.55208333333333337</v>
      </c>
      <c r="D10" s="4">
        <v>0.60416666666666663</v>
      </c>
      <c r="E10" s="2">
        <f t="shared" si="0"/>
        <v>1.2499999999999982</v>
      </c>
      <c r="F10" s="19" t="s">
        <v>9</v>
      </c>
      <c r="G10" s="19"/>
      <c r="H10" s="19"/>
      <c r="I10" s="19"/>
    </row>
    <row r="11" spans="2:9" x14ac:dyDescent="0.25">
      <c r="B11" s="3">
        <v>45758</v>
      </c>
      <c r="C11" s="4">
        <v>0.54166666666666663</v>
      </c>
      <c r="D11" s="4">
        <v>0.60416666666666663</v>
      </c>
      <c r="E11" s="2">
        <f t="shared" si="0"/>
        <v>1.5</v>
      </c>
      <c r="F11" s="19" t="s">
        <v>9</v>
      </c>
      <c r="G11" s="19"/>
      <c r="H11" s="19"/>
      <c r="I11" s="19"/>
    </row>
    <row r="12" spans="2:9" x14ac:dyDescent="0.25">
      <c r="B12" s="3">
        <v>45758</v>
      </c>
      <c r="C12" s="4">
        <v>0.41666666666666669</v>
      </c>
      <c r="D12" s="4">
        <v>0.5</v>
      </c>
      <c r="E12" s="2">
        <f t="shared" si="0"/>
        <v>1.9999999999999996</v>
      </c>
      <c r="F12" s="19" t="s">
        <v>9</v>
      </c>
      <c r="G12" s="19"/>
      <c r="H12" s="19"/>
      <c r="I12" s="19"/>
    </row>
    <row r="13" spans="2:9" x14ac:dyDescent="0.25">
      <c r="B13" s="3">
        <v>45759</v>
      </c>
      <c r="C13" s="4">
        <v>0.55208333333333337</v>
      </c>
      <c r="D13" s="4">
        <v>0.625</v>
      </c>
      <c r="E13" s="2">
        <f t="shared" si="0"/>
        <v>1.7499999999999991</v>
      </c>
      <c r="F13" s="19" t="s">
        <v>9</v>
      </c>
      <c r="G13" s="19"/>
      <c r="H13" s="19"/>
      <c r="I13" s="19"/>
    </row>
    <row r="14" spans="2:9" x14ac:dyDescent="0.25">
      <c r="B14" s="3">
        <v>45759</v>
      </c>
      <c r="C14" s="4">
        <v>0.41666666666666669</v>
      </c>
      <c r="D14" s="4">
        <v>0.45833333333333331</v>
      </c>
      <c r="E14" s="2">
        <f t="shared" si="0"/>
        <v>0.99999999999999911</v>
      </c>
      <c r="F14" s="19" t="s">
        <v>9</v>
      </c>
      <c r="G14" s="19"/>
      <c r="H14" s="19"/>
      <c r="I14" s="19"/>
    </row>
    <row r="15" spans="2:9" x14ac:dyDescent="0.25">
      <c r="B15" s="3">
        <v>45760</v>
      </c>
      <c r="C15" s="4">
        <v>0.55208333333333337</v>
      </c>
      <c r="D15" s="4">
        <v>0.60416666666666663</v>
      </c>
      <c r="E15" s="2">
        <f t="shared" si="0"/>
        <v>1.2499999999999982</v>
      </c>
      <c r="F15" s="19" t="s">
        <v>9</v>
      </c>
      <c r="G15" s="19"/>
      <c r="H15" s="19"/>
      <c r="I15" s="19"/>
    </row>
    <row r="16" spans="2:9" x14ac:dyDescent="0.25">
      <c r="B16" s="3">
        <v>45760</v>
      </c>
      <c r="C16" s="4">
        <v>0.54166666666666663</v>
      </c>
      <c r="D16" s="4">
        <v>0.60416666666666663</v>
      </c>
      <c r="E16" s="2">
        <f t="shared" si="0"/>
        <v>1.5</v>
      </c>
      <c r="F16" s="19" t="s">
        <v>9</v>
      </c>
      <c r="G16" s="19"/>
      <c r="H16" s="19"/>
      <c r="I16" s="19"/>
    </row>
    <row r="17" spans="2:9" x14ac:dyDescent="0.25">
      <c r="C17" s="9"/>
      <c r="D17" s="10" t="s">
        <v>14</v>
      </c>
      <c r="E17" s="1">
        <f>SUM(E4:E16)</f>
        <v>18.749999999999993</v>
      </c>
      <c r="F17" s="6"/>
      <c r="G17" s="6"/>
      <c r="H17" s="6"/>
      <c r="I17" s="6"/>
    </row>
    <row r="18" spans="2:9" x14ac:dyDescent="0.25">
      <c r="B18" s="5"/>
      <c r="C18" s="7"/>
      <c r="D18" s="7"/>
      <c r="F18" s="6"/>
      <c r="G18" s="6"/>
      <c r="H18" s="6"/>
      <c r="I18" s="6"/>
    </row>
    <row r="19" spans="2:9" x14ac:dyDescent="0.25">
      <c r="B19" s="5"/>
      <c r="F19" s="6"/>
      <c r="G19" s="6"/>
      <c r="H19" s="6"/>
      <c r="I19" s="6"/>
    </row>
    <row r="20" spans="2:9" x14ac:dyDescent="0.25">
      <c r="F20" s="6"/>
      <c r="G20" s="6"/>
      <c r="H20" s="6"/>
      <c r="I20" s="6"/>
    </row>
    <row r="21" spans="2:9" x14ac:dyDescent="0.25">
      <c r="F21" s="6"/>
      <c r="G21" s="6"/>
      <c r="H21" s="6"/>
      <c r="I21" s="6"/>
    </row>
    <row r="22" spans="2:9" x14ac:dyDescent="0.25">
      <c r="F22" s="6"/>
      <c r="G22" s="6"/>
      <c r="H22" s="6"/>
      <c r="I22" s="6"/>
    </row>
    <row r="23" spans="2:9" x14ac:dyDescent="0.25">
      <c r="F23" s="6"/>
      <c r="G23" s="6"/>
      <c r="H23" s="6"/>
      <c r="I23" s="6"/>
    </row>
    <row r="24" spans="2:9" x14ac:dyDescent="0.25">
      <c r="F24" s="6"/>
      <c r="G24" s="6"/>
      <c r="H24" s="6"/>
      <c r="I24" s="6"/>
    </row>
  </sheetData>
  <mergeCells count="15">
    <mergeCell ref="F13:I13"/>
    <mergeCell ref="F14:I14"/>
    <mergeCell ref="F15:I15"/>
    <mergeCell ref="F16:I16"/>
    <mergeCell ref="F12:I12"/>
    <mergeCell ref="F3:I3"/>
    <mergeCell ref="B2:I2"/>
    <mergeCell ref="F4:I4"/>
    <mergeCell ref="F5:I5"/>
    <mergeCell ref="F6:I6"/>
    <mergeCell ref="F7:I7"/>
    <mergeCell ref="F8:I8"/>
    <mergeCell ref="F9:I9"/>
    <mergeCell ref="F10:I10"/>
    <mergeCell ref="F11:I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7EFE-31D6-4852-88BC-72D89609389D}">
  <dimension ref="B2:I16"/>
  <sheetViews>
    <sheetView workbookViewId="0">
      <selection activeCell="F31" sqref="F31"/>
    </sheetView>
  </sheetViews>
  <sheetFormatPr defaultColWidth="10.7109375" defaultRowHeight="15" x14ac:dyDescent="0.25"/>
  <sheetData>
    <row r="2" spans="2:9" x14ac:dyDescent="0.25">
      <c r="B2" s="19" t="s">
        <v>11</v>
      </c>
      <c r="C2" s="19"/>
      <c r="D2" s="19"/>
      <c r="E2" s="19"/>
      <c r="F2" s="19"/>
      <c r="G2" s="19"/>
      <c r="H2" s="19"/>
      <c r="I2" s="19"/>
    </row>
    <row r="3" spans="2:9" x14ac:dyDescent="0.25">
      <c r="B3" s="2" t="s">
        <v>0</v>
      </c>
      <c r="C3" s="2" t="s">
        <v>1</v>
      </c>
      <c r="D3" s="2" t="s">
        <v>2</v>
      </c>
      <c r="E3" s="2" t="s">
        <v>3</v>
      </c>
      <c r="F3" s="19" t="s">
        <v>4</v>
      </c>
      <c r="G3" s="19"/>
      <c r="H3" s="19"/>
      <c r="I3" s="19"/>
    </row>
    <row r="4" spans="2:9" x14ac:dyDescent="0.25">
      <c r="B4" s="3">
        <v>45761</v>
      </c>
      <c r="C4" s="4">
        <v>0.375</v>
      </c>
      <c r="D4" s="4">
        <v>0.4861111111111111</v>
      </c>
      <c r="E4" s="8">
        <f>ABS((D4-C4)*24)</f>
        <v>2.6666666666666665</v>
      </c>
      <c r="F4" s="19" t="s">
        <v>9</v>
      </c>
      <c r="G4" s="19"/>
      <c r="H4" s="19"/>
      <c r="I4" s="19"/>
    </row>
    <row r="5" spans="2:9" x14ac:dyDescent="0.25">
      <c r="B5" s="3">
        <v>45761</v>
      </c>
      <c r="C5" s="4">
        <v>0.52777777777777779</v>
      </c>
      <c r="D5" s="4">
        <v>0.60416666666666663</v>
      </c>
      <c r="E5" s="8">
        <f t="shared" ref="E5:E13" si="0">ABS((D5-C5)*24)</f>
        <v>1.8333333333333321</v>
      </c>
      <c r="F5" s="19" t="s">
        <v>9</v>
      </c>
      <c r="G5" s="19"/>
      <c r="H5" s="19"/>
      <c r="I5" s="19"/>
    </row>
    <row r="6" spans="2:9" x14ac:dyDescent="0.25">
      <c r="B6" s="3">
        <v>45762</v>
      </c>
      <c r="C6" s="4">
        <v>0.375</v>
      </c>
      <c r="D6" s="4">
        <v>0.48958333333333331</v>
      </c>
      <c r="E6" s="2">
        <f t="shared" si="0"/>
        <v>2.7499999999999996</v>
      </c>
      <c r="F6" s="19" t="s">
        <v>9</v>
      </c>
      <c r="G6" s="19"/>
      <c r="H6" s="19"/>
      <c r="I6" s="19"/>
    </row>
    <row r="7" spans="2:9" x14ac:dyDescent="0.25">
      <c r="B7" s="3">
        <v>45762</v>
      </c>
      <c r="C7" s="4">
        <v>0.55208333333333337</v>
      </c>
      <c r="D7" s="4">
        <v>0.61111111111111116</v>
      </c>
      <c r="E7" s="8">
        <f t="shared" si="0"/>
        <v>1.416666666666667</v>
      </c>
      <c r="F7" s="19" t="s">
        <v>9</v>
      </c>
      <c r="G7" s="19"/>
      <c r="H7" s="19"/>
      <c r="I7" s="19"/>
    </row>
    <row r="8" spans="2:9" x14ac:dyDescent="0.25">
      <c r="B8" s="3">
        <v>45763</v>
      </c>
      <c r="C8" s="4">
        <v>0.375</v>
      </c>
      <c r="D8" s="4">
        <v>0.4861111111111111</v>
      </c>
      <c r="E8" s="8">
        <f t="shared" si="0"/>
        <v>2.6666666666666665</v>
      </c>
      <c r="F8" s="19" t="s">
        <v>12</v>
      </c>
      <c r="G8" s="19"/>
      <c r="H8" s="19"/>
      <c r="I8" s="19"/>
    </row>
    <row r="9" spans="2:9" x14ac:dyDescent="0.25">
      <c r="B9" s="3">
        <v>45763</v>
      </c>
      <c r="C9" s="4">
        <v>0.54166666666666663</v>
      </c>
      <c r="D9" s="4">
        <v>0.66666666666666663</v>
      </c>
      <c r="E9" s="2">
        <f t="shared" si="0"/>
        <v>3</v>
      </c>
      <c r="F9" s="19" t="s">
        <v>12</v>
      </c>
      <c r="G9" s="19"/>
      <c r="H9" s="19"/>
      <c r="I9" s="19"/>
    </row>
    <row r="10" spans="2:9" x14ac:dyDescent="0.25">
      <c r="B10" s="3">
        <v>45764</v>
      </c>
      <c r="C10" s="4">
        <v>0.38541666666666669</v>
      </c>
      <c r="D10" s="4">
        <v>0.4861111111111111</v>
      </c>
      <c r="E10" s="8">
        <f t="shared" si="0"/>
        <v>2.4166666666666661</v>
      </c>
      <c r="F10" s="19" t="s">
        <v>13</v>
      </c>
      <c r="G10" s="19"/>
      <c r="H10" s="19"/>
      <c r="I10" s="19"/>
    </row>
    <row r="11" spans="2:9" x14ac:dyDescent="0.25">
      <c r="B11" s="3">
        <v>45764</v>
      </c>
      <c r="C11" s="4">
        <v>0.54166666666666663</v>
      </c>
      <c r="D11" s="4">
        <v>0.64583333333333337</v>
      </c>
      <c r="E11" s="2">
        <f t="shared" si="0"/>
        <v>2.5000000000000018</v>
      </c>
      <c r="F11" s="19" t="s">
        <v>13</v>
      </c>
      <c r="G11" s="19"/>
      <c r="H11" s="19"/>
      <c r="I11" s="19"/>
    </row>
    <row r="12" spans="2:9" x14ac:dyDescent="0.25">
      <c r="B12" s="3">
        <v>45765</v>
      </c>
      <c r="C12" s="4">
        <v>0.375</v>
      </c>
      <c r="D12" s="4">
        <v>0.4861111111111111</v>
      </c>
      <c r="E12" s="8">
        <f t="shared" si="0"/>
        <v>2.6666666666666665</v>
      </c>
      <c r="F12" s="19" t="s">
        <v>13</v>
      </c>
      <c r="G12" s="19"/>
      <c r="H12" s="19"/>
      <c r="I12" s="19"/>
    </row>
    <row r="13" spans="2:9" x14ac:dyDescent="0.25">
      <c r="B13" s="3">
        <v>45765</v>
      </c>
      <c r="C13" s="4">
        <v>0.54166666666666663</v>
      </c>
      <c r="D13" s="4">
        <v>0.625</v>
      </c>
      <c r="E13" s="2">
        <f t="shared" si="0"/>
        <v>2.0000000000000009</v>
      </c>
      <c r="F13" s="19" t="s">
        <v>13</v>
      </c>
      <c r="G13" s="19"/>
      <c r="H13" s="19"/>
      <c r="I13" s="19"/>
    </row>
    <row r="14" spans="2:9" x14ac:dyDescent="0.25">
      <c r="B14" s="5"/>
      <c r="C14" s="7"/>
      <c r="D14" s="11" t="s">
        <v>14</v>
      </c>
      <c r="E14" s="12">
        <f>SUM(E4:E13)</f>
        <v>23.916666666666668</v>
      </c>
      <c r="F14" s="6"/>
      <c r="G14" s="6"/>
      <c r="H14" s="6"/>
      <c r="I14" s="6"/>
    </row>
    <row r="15" spans="2:9" x14ac:dyDescent="0.25">
      <c r="B15" s="5"/>
      <c r="C15" s="7"/>
      <c r="D15" s="7"/>
      <c r="E15" s="1"/>
      <c r="F15" s="6"/>
      <c r="G15" s="6"/>
      <c r="H15" s="6"/>
      <c r="I15" s="6"/>
    </row>
    <row r="16" spans="2:9" x14ac:dyDescent="0.25">
      <c r="B16" s="5"/>
      <c r="C16" s="7"/>
      <c r="D16" s="7"/>
      <c r="E16" s="1"/>
      <c r="F16" s="6"/>
      <c r="G16" s="6"/>
      <c r="H16" s="6"/>
      <c r="I16" s="6"/>
    </row>
  </sheetData>
  <mergeCells count="12">
    <mergeCell ref="F13:I13"/>
    <mergeCell ref="F8:I8"/>
    <mergeCell ref="F9:I9"/>
    <mergeCell ref="F10:I10"/>
    <mergeCell ref="F11:I11"/>
    <mergeCell ref="F12:I12"/>
    <mergeCell ref="F7:I7"/>
    <mergeCell ref="B2:I2"/>
    <mergeCell ref="F3:I3"/>
    <mergeCell ref="F4:I4"/>
    <mergeCell ref="F5:I5"/>
    <mergeCell ref="F6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56AC-52C5-4844-98DD-326ECEE099C5}">
  <dimension ref="B2:I14"/>
  <sheetViews>
    <sheetView workbookViewId="0">
      <selection activeCell="D31" sqref="D31"/>
    </sheetView>
  </sheetViews>
  <sheetFormatPr defaultColWidth="10.7109375" defaultRowHeight="15" x14ac:dyDescent="0.25"/>
  <sheetData>
    <row r="2" spans="2:9" x14ac:dyDescent="0.25">
      <c r="B2" s="19" t="s">
        <v>17</v>
      </c>
      <c r="C2" s="19"/>
      <c r="D2" s="19"/>
      <c r="E2" s="19"/>
      <c r="F2" s="19"/>
      <c r="G2" s="19"/>
      <c r="H2" s="19"/>
      <c r="I2" s="19"/>
    </row>
    <row r="3" spans="2:9" x14ac:dyDescent="0.25">
      <c r="B3" s="2" t="s">
        <v>0</v>
      </c>
      <c r="C3" s="2" t="s">
        <v>1</v>
      </c>
      <c r="D3" s="2" t="s">
        <v>2</v>
      </c>
      <c r="E3" s="2" t="s">
        <v>3</v>
      </c>
      <c r="F3" s="19" t="s">
        <v>4</v>
      </c>
      <c r="G3" s="19"/>
      <c r="H3" s="19"/>
      <c r="I3" s="19"/>
    </row>
    <row r="4" spans="2:9" x14ac:dyDescent="0.25">
      <c r="B4" s="3">
        <v>45768</v>
      </c>
      <c r="C4" s="4">
        <v>0.375</v>
      </c>
      <c r="D4" s="4">
        <v>0.4861111111111111</v>
      </c>
      <c r="E4" s="8">
        <f>ABS((D4-C4)*24)</f>
        <v>2.6666666666666665</v>
      </c>
      <c r="F4" s="19" t="s">
        <v>13</v>
      </c>
      <c r="G4" s="19"/>
      <c r="H4" s="19"/>
      <c r="I4" s="19"/>
    </row>
    <row r="5" spans="2:9" x14ac:dyDescent="0.25">
      <c r="B5" s="3">
        <v>45768</v>
      </c>
      <c r="C5" s="4">
        <v>0.52777777777777779</v>
      </c>
      <c r="D5" s="4">
        <v>0.60416666666666663</v>
      </c>
      <c r="E5" s="8">
        <f t="shared" ref="E5:E13" si="0">ABS((D5-C5)*24)</f>
        <v>1.8333333333333321</v>
      </c>
      <c r="F5" s="19" t="s">
        <v>13</v>
      </c>
      <c r="G5" s="19"/>
      <c r="H5" s="19"/>
      <c r="I5" s="19"/>
    </row>
    <row r="6" spans="2:9" x14ac:dyDescent="0.25">
      <c r="B6" s="3">
        <v>45769</v>
      </c>
      <c r="C6" s="4">
        <v>0.375</v>
      </c>
      <c r="D6" s="4">
        <v>0.48958333333333331</v>
      </c>
      <c r="E6" s="2">
        <f t="shared" si="0"/>
        <v>2.7499999999999996</v>
      </c>
      <c r="F6" s="19" t="s">
        <v>13</v>
      </c>
      <c r="G6" s="19"/>
      <c r="H6" s="19"/>
      <c r="I6" s="19"/>
    </row>
    <row r="7" spans="2:9" x14ac:dyDescent="0.25">
      <c r="B7" s="3">
        <v>45769</v>
      </c>
      <c r="C7" s="4">
        <v>0.55208333333333337</v>
      </c>
      <c r="D7" s="4">
        <v>0.61111111111111116</v>
      </c>
      <c r="E7" s="8">
        <f t="shared" si="0"/>
        <v>1.416666666666667</v>
      </c>
      <c r="F7" s="19" t="s">
        <v>13</v>
      </c>
      <c r="G7" s="19"/>
      <c r="H7" s="19"/>
      <c r="I7" s="19"/>
    </row>
    <row r="8" spans="2:9" x14ac:dyDescent="0.25">
      <c r="B8" s="3">
        <v>45770</v>
      </c>
      <c r="C8" s="4">
        <v>0.375</v>
      </c>
      <c r="D8" s="4">
        <v>0.4861111111111111</v>
      </c>
      <c r="E8" s="8">
        <f t="shared" si="0"/>
        <v>2.6666666666666665</v>
      </c>
      <c r="F8" s="19" t="s">
        <v>13</v>
      </c>
      <c r="G8" s="19"/>
      <c r="H8" s="19"/>
      <c r="I8" s="19"/>
    </row>
    <row r="9" spans="2:9" x14ac:dyDescent="0.25">
      <c r="B9" s="3">
        <v>45770</v>
      </c>
      <c r="C9" s="4">
        <v>0.54166666666666663</v>
      </c>
      <c r="D9" s="4">
        <v>0.66666666666666663</v>
      </c>
      <c r="E9" s="2">
        <f t="shared" si="0"/>
        <v>3</v>
      </c>
      <c r="F9" s="19" t="s">
        <v>13</v>
      </c>
      <c r="G9" s="19"/>
      <c r="H9" s="19"/>
      <c r="I9" s="19"/>
    </row>
    <row r="10" spans="2:9" x14ac:dyDescent="0.25">
      <c r="B10" s="3">
        <v>45771</v>
      </c>
      <c r="C10" s="4">
        <v>0.38541666666666669</v>
      </c>
      <c r="D10" s="4">
        <v>0.4861111111111111</v>
      </c>
      <c r="E10" s="8">
        <f t="shared" si="0"/>
        <v>2.4166666666666661</v>
      </c>
      <c r="F10" s="19" t="s">
        <v>13</v>
      </c>
      <c r="G10" s="19"/>
      <c r="H10" s="19"/>
      <c r="I10" s="19"/>
    </row>
    <row r="11" spans="2:9" x14ac:dyDescent="0.25">
      <c r="B11" s="3">
        <v>45771</v>
      </c>
      <c r="C11" s="4">
        <v>0.54166666666666663</v>
      </c>
      <c r="D11" s="4">
        <v>0.64583333333333337</v>
      </c>
      <c r="E11" s="2">
        <f t="shared" si="0"/>
        <v>2.5000000000000018</v>
      </c>
      <c r="F11" s="19" t="s">
        <v>13</v>
      </c>
      <c r="G11" s="19"/>
      <c r="H11" s="19"/>
      <c r="I11" s="19"/>
    </row>
    <row r="12" spans="2:9" x14ac:dyDescent="0.25">
      <c r="B12" s="3">
        <v>45772</v>
      </c>
      <c r="C12" s="4">
        <v>0.375</v>
      </c>
      <c r="D12" s="4">
        <v>0.4861111111111111</v>
      </c>
      <c r="E12" s="8">
        <f t="shared" si="0"/>
        <v>2.6666666666666665</v>
      </c>
      <c r="F12" s="19" t="s">
        <v>13</v>
      </c>
      <c r="G12" s="19"/>
      <c r="H12" s="19"/>
      <c r="I12" s="19"/>
    </row>
    <row r="13" spans="2:9" x14ac:dyDescent="0.25">
      <c r="B13" s="3">
        <v>45772</v>
      </c>
      <c r="C13" s="4">
        <v>0.54166666666666663</v>
      </c>
      <c r="D13" s="4">
        <v>0.625</v>
      </c>
      <c r="E13" s="2">
        <f t="shared" si="0"/>
        <v>2.0000000000000009</v>
      </c>
      <c r="F13" s="19" t="s">
        <v>13</v>
      </c>
      <c r="G13" s="19"/>
      <c r="H13" s="19"/>
      <c r="I13" s="19"/>
    </row>
    <row r="14" spans="2:9" x14ac:dyDescent="0.25">
      <c r="B14" s="5"/>
      <c r="C14" s="7"/>
      <c r="D14" s="11" t="s">
        <v>14</v>
      </c>
      <c r="E14" s="12">
        <f>SUM(E4:E13)</f>
        <v>23.916666666666668</v>
      </c>
      <c r="F14" s="6"/>
      <c r="G14" s="6"/>
      <c r="H14" s="6"/>
      <c r="I14" s="6"/>
    </row>
  </sheetData>
  <mergeCells count="12">
    <mergeCell ref="F13:I13"/>
    <mergeCell ref="B2:I2"/>
    <mergeCell ref="F3:I3"/>
    <mergeCell ref="F4:I4"/>
    <mergeCell ref="F5:I5"/>
    <mergeCell ref="F6:I6"/>
    <mergeCell ref="F7:I7"/>
    <mergeCell ref="F8:I8"/>
    <mergeCell ref="F9:I9"/>
    <mergeCell ref="F10:I10"/>
    <mergeCell ref="F11:I11"/>
    <mergeCell ref="F12:I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1E60B-F098-4FB2-ACFB-72E4C091ED56}">
  <dimension ref="B2:I14"/>
  <sheetViews>
    <sheetView workbookViewId="0">
      <selection activeCell="D31" sqref="D31"/>
    </sheetView>
  </sheetViews>
  <sheetFormatPr defaultColWidth="10.7109375" defaultRowHeight="15" x14ac:dyDescent="0.25"/>
  <sheetData>
    <row r="2" spans="2:9" x14ac:dyDescent="0.25">
      <c r="B2" s="19" t="s">
        <v>18</v>
      </c>
      <c r="C2" s="19"/>
      <c r="D2" s="19"/>
      <c r="E2" s="19"/>
      <c r="F2" s="19"/>
      <c r="G2" s="19"/>
      <c r="H2" s="19"/>
      <c r="I2" s="19"/>
    </row>
    <row r="3" spans="2:9" x14ac:dyDescent="0.25">
      <c r="B3" s="2" t="s">
        <v>0</v>
      </c>
      <c r="C3" s="2" t="s">
        <v>1</v>
      </c>
      <c r="D3" s="2" t="s">
        <v>2</v>
      </c>
      <c r="E3" s="2" t="s">
        <v>3</v>
      </c>
      <c r="F3" s="19" t="s">
        <v>4</v>
      </c>
      <c r="G3" s="19"/>
      <c r="H3" s="19"/>
      <c r="I3" s="19"/>
    </row>
    <row r="4" spans="2:9" x14ac:dyDescent="0.25">
      <c r="B4" s="3">
        <v>45775</v>
      </c>
      <c r="C4" s="4">
        <v>0.39583333333333331</v>
      </c>
      <c r="D4" s="4">
        <v>0.4861111111111111</v>
      </c>
      <c r="E4" s="8">
        <f>ABS((D4-C4)*24)</f>
        <v>2.166666666666667</v>
      </c>
      <c r="F4" s="19" t="s">
        <v>13</v>
      </c>
      <c r="G4" s="19"/>
      <c r="H4" s="19"/>
      <c r="I4" s="19"/>
    </row>
    <row r="5" spans="2:9" x14ac:dyDescent="0.25">
      <c r="B5" s="3">
        <v>45775</v>
      </c>
      <c r="C5" s="4">
        <v>0.54166666666666663</v>
      </c>
      <c r="D5" s="4">
        <v>0.61111111111111116</v>
      </c>
      <c r="E5" s="8">
        <f t="shared" ref="E5:E13" si="0">ABS((D5-C5)*24)</f>
        <v>1.6666666666666687</v>
      </c>
      <c r="F5" s="19" t="s">
        <v>13</v>
      </c>
      <c r="G5" s="19"/>
      <c r="H5" s="19"/>
      <c r="I5" s="19"/>
    </row>
    <row r="6" spans="2:9" x14ac:dyDescent="0.25">
      <c r="B6" s="3">
        <v>45776</v>
      </c>
      <c r="C6" s="4">
        <v>0.375</v>
      </c>
      <c r="D6" s="4">
        <v>0.4861111111111111</v>
      </c>
      <c r="E6" s="8">
        <f t="shared" si="0"/>
        <v>2.6666666666666665</v>
      </c>
      <c r="F6" s="19" t="s">
        <v>13</v>
      </c>
      <c r="G6" s="19"/>
      <c r="H6" s="19"/>
      <c r="I6" s="19"/>
    </row>
    <row r="7" spans="2:9" x14ac:dyDescent="0.25">
      <c r="B7" s="3">
        <v>45776</v>
      </c>
      <c r="C7" s="4">
        <v>0.53125</v>
      </c>
      <c r="D7" s="4">
        <v>0.61111111111111116</v>
      </c>
      <c r="E7" s="8">
        <f t="shared" si="0"/>
        <v>1.9166666666666679</v>
      </c>
      <c r="F7" s="19" t="s">
        <v>13</v>
      </c>
      <c r="G7" s="19"/>
      <c r="H7" s="19"/>
      <c r="I7" s="19"/>
    </row>
    <row r="8" spans="2:9" x14ac:dyDescent="0.25">
      <c r="B8" s="3">
        <v>45777</v>
      </c>
      <c r="C8" s="4">
        <v>0.38541666666666669</v>
      </c>
      <c r="D8" s="4">
        <v>0.4861111111111111</v>
      </c>
      <c r="E8" s="8">
        <f t="shared" si="0"/>
        <v>2.4166666666666661</v>
      </c>
      <c r="F8" s="19" t="s">
        <v>13</v>
      </c>
      <c r="G8" s="19"/>
      <c r="H8" s="19"/>
      <c r="I8" s="19"/>
    </row>
    <row r="9" spans="2:9" x14ac:dyDescent="0.25">
      <c r="B9" s="3">
        <v>45777</v>
      </c>
      <c r="C9" s="4">
        <v>0.52083333333333337</v>
      </c>
      <c r="D9" s="4">
        <v>0.66666666666666663</v>
      </c>
      <c r="E9" s="2">
        <f t="shared" si="0"/>
        <v>3.4999999999999982</v>
      </c>
      <c r="F9" s="19" t="s">
        <v>15</v>
      </c>
      <c r="G9" s="19"/>
      <c r="H9" s="19"/>
      <c r="I9" s="19"/>
    </row>
    <row r="10" spans="2:9" x14ac:dyDescent="0.25">
      <c r="B10" s="3">
        <v>45778</v>
      </c>
      <c r="C10" s="4">
        <v>0.38541666666666669</v>
      </c>
      <c r="D10" s="4">
        <v>0.47222222222222221</v>
      </c>
      <c r="E10" s="8">
        <f t="shared" si="0"/>
        <v>2.0833333333333326</v>
      </c>
      <c r="F10" s="19" t="s">
        <v>15</v>
      </c>
      <c r="G10" s="19"/>
      <c r="H10" s="19"/>
      <c r="I10" s="19"/>
    </row>
    <row r="11" spans="2:9" x14ac:dyDescent="0.25">
      <c r="B11" s="3">
        <v>45778</v>
      </c>
      <c r="C11" s="4">
        <v>0.54166666666666663</v>
      </c>
      <c r="D11" s="4">
        <v>0.625</v>
      </c>
      <c r="E11" s="2">
        <f t="shared" si="0"/>
        <v>2.0000000000000009</v>
      </c>
      <c r="F11" s="19" t="s">
        <v>16</v>
      </c>
      <c r="G11" s="19"/>
      <c r="H11" s="19"/>
      <c r="I11" s="19"/>
    </row>
    <row r="12" spans="2:9" x14ac:dyDescent="0.25">
      <c r="B12" s="3">
        <v>45779</v>
      </c>
      <c r="C12" s="4">
        <v>0.38194444444444442</v>
      </c>
      <c r="D12" s="4">
        <v>0.4861111111111111</v>
      </c>
      <c r="E12" s="2">
        <f t="shared" si="0"/>
        <v>2.5000000000000004</v>
      </c>
      <c r="F12" s="19" t="s">
        <v>15</v>
      </c>
      <c r="G12" s="19"/>
      <c r="H12" s="19"/>
      <c r="I12" s="19"/>
    </row>
    <row r="13" spans="2:9" x14ac:dyDescent="0.25">
      <c r="B13" s="3">
        <v>45779</v>
      </c>
      <c r="C13" s="4">
        <v>0.54166666666666663</v>
      </c>
      <c r="D13" s="4">
        <v>0.625</v>
      </c>
      <c r="E13" s="2">
        <f t="shared" si="0"/>
        <v>2.0000000000000009</v>
      </c>
      <c r="F13" s="19" t="s">
        <v>16</v>
      </c>
      <c r="G13" s="19"/>
      <c r="H13" s="19"/>
      <c r="I13" s="19"/>
    </row>
    <row r="14" spans="2:9" x14ac:dyDescent="0.25">
      <c r="B14" s="5"/>
      <c r="C14" s="7"/>
      <c r="D14" s="11" t="s">
        <v>14</v>
      </c>
      <c r="E14" s="12">
        <f>SUM(E4:E13)</f>
        <v>22.916666666666668</v>
      </c>
      <c r="F14" s="6"/>
      <c r="G14" s="6"/>
      <c r="H14" s="6"/>
      <c r="I14" s="6"/>
    </row>
  </sheetData>
  <mergeCells count="12">
    <mergeCell ref="F13:I13"/>
    <mergeCell ref="B2:I2"/>
    <mergeCell ref="F3:I3"/>
    <mergeCell ref="F4:I4"/>
    <mergeCell ref="F5:I5"/>
    <mergeCell ref="F6:I6"/>
    <mergeCell ref="F7:I7"/>
    <mergeCell ref="F8:I8"/>
    <mergeCell ref="F9:I9"/>
    <mergeCell ref="F10:I10"/>
    <mergeCell ref="F11:I11"/>
    <mergeCell ref="F12:I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08A1-8B08-48E1-87F3-F427D538186B}">
  <dimension ref="B2:I14"/>
  <sheetViews>
    <sheetView workbookViewId="0">
      <selection activeCell="E6" sqref="E6"/>
    </sheetView>
  </sheetViews>
  <sheetFormatPr defaultColWidth="10.7109375" defaultRowHeight="15" x14ac:dyDescent="0.25"/>
  <sheetData>
    <row r="2" spans="2:9" x14ac:dyDescent="0.25">
      <c r="B2" s="19" t="s">
        <v>19</v>
      </c>
      <c r="C2" s="19"/>
      <c r="D2" s="19"/>
      <c r="E2" s="19"/>
      <c r="F2" s="19"/>
      <c r="G2" s="19"/>
      <c r="H2" s="19"/>
      <c r="I2" s="19"/>
    </row>
    <row r="3" spans="2:9" x14ac:dyDescent="0.25">
      <c r="B3" s="2" t="s">
        <v>0</v>
      </c>
      <c r="C3" s="2" t="s">
        <v>1</v>
      </c>
      <c r="D3" s="2" t="s">
        <v>2</v>
      </c>
      <c r="E3" s="2" t="s">
        <v>3</v>
      </c>
      <c r="F3" s="19" t="s">
        <v>4</v>
      </c>
      <c r="G3" s="19"/>
      <c r="H3" s="19"/>
      <c r="I3" s="19"/>
    </row>
    <row r="4" spans="2:9" x14ac:dyDescent="0.25">
      <c r="B4" s="3">
        <v>45782</v>
      </c>
      <c r="C4" s="4">
        <v>0.39583333333333331</v>
      </c>
      <c r="D4" s="4">
        <v>0.4861111111111111</v>
      </c>
      <c r="E4" s="8">
        <f>ABS((D4-C4)*24)</f>
        <v>2.166666666666667</v>
      </c>
      <c r="F4" s="19" t="s">
        <v>15</v>
      </c>
      <c r="G4" s="19"/>
      <c r="H4" s="19"/>
      <c r="I4" s="19"/>
    </row>
    <row r="5" spans="2:9" x14ac:dyDescent="0.25">
      <c r="B5" s="3">
        <v>45782</v>
      </c>
      <c r="C5" s="4">
        <v>0.54166666666666663</v>
      </c>
      <c r="D5" s="4">
        <v>0.61111111111111116</v>
      </c>
      <c r="E5" s="8">
        <f>ABS((D5-C5)*24)</f>
        <v>1.6666666666666687</v>
      </c>
      <c r="F5" s="19" t="s">
        <v>20</v>
      </c>
      <c r="G5" s="19"/>
      <c r="H5" s="19"/>
      <c r="I5" s="19"/>
    </row>
    <row r="6" spans="2:9" x14ac:dyDescent="0.25">
      <c r="B6" s="3">
        <v>45783</v>
      </c>
      <c r="C6" s="4">
        <v>0.375</v>
      </c>
      <c r="D6" s="4">
        <v>0.4861111111111111</v>
      </c>
      <c r="E6" s="8">
        <f t="shared" ref="E6:E11" si="0">ABS((D6-C6)*24)</f>
        <v>2.6666666666666665</v>
      </c>
      <c r="F6" s="19" t="s">
        <v>21</v>
      </c>
      <c r="G6" s="19"/>
      <c r="H6" s="19"/>
      <c r="I6" s="19"/>
    </row>
    <row r="7" spans="2:9" x14ac:dyDescent="0.25">
      <c r="B7" s="3">
        <v>45783</v>
      </c>
      <c r="C7" s="4"/>
      <c r="D7" s="4"/>
      <c r="E7" s="8">
        <f t="shared" si="0"/>
        <v>0</v>
      </c>
      <c r="F7" s="19"/>
      <c r="G7" s="19"/>
      <c r="H7" s="19"/>
      <c r="I7" s="19"/>
    </row>
    <row r="8" spans="2:9" x14ac:dyDescent="0.25">
      <c r="B8" s="3">
        <v>45784</v>
      </c>
      <c r="C8" s="4"/>
      <c r="D8" s="4"/>
      <c r="E8" s="8">
        <f t="shared" si="0"/>
        <v>0</v>
      </c>
      <c r="F8" s="19"/>
      <c r="G8" s="19"/>
      <c r="H8" s="19"/>
      <c r="I8" s="19"/>
    </row>
    <row r="9" spans="2:9" x14ac:dyDescent="0.25">
      <c r="B9" s="3">
        <v>45784</v>
      </c>
      <c r="C9" s="4"/>
      <c r="D9" s="4"/>
      <c r="E9" s="2">
        <f t="shared" si="0"/>
        <v>0</v>
      </c>
      <c r="F9" s="19"/>
      <c r="G9" s="19"/>
      <c r="H9" s="19"/>
      <c r="I9" s="19"/>
    </row>
    <row r="10" spans="2:9" x14ac:dyDescent="0.25">
      <c r="B10" s="3">
        <v>45785</v>
      </c>
      <c r="C10" s="4"/>
      <c r="D10" s="4"/>
      <c r="E10" s="8">
        <f t="shared" si="0"/>
        <v>0</v>
      </c>
      <c r="F10" s="19"/>
      <c r="G10" s="19"/>
      <c r="H10" s="19"/>
      <c r="I10" s="19"/>
    </row>
    <row r="11" spans="2:9" x14ac:dyDescent="0.25">
      <c r="B11" s="3">
        <v>45785</v>
      </c>
      <c r="C11" s="4"/>
      <c r="D11" s="4"/>
      <c r="E11" s="2">
        <f t="shared" si="0"/>
        <v>0</v>
      </c>
      <c r="F11" s="19"/>
      <c r="G11" s="19"/>
      <c r="H11" s="19"/>
      <c r="I11" s="19"/>
    </row>
    <row r="12" spans="2:9" x14ac:dyDescent="0.25">
      <c r="B12" s="3"/>
      <c r="C12" s="4"/>
      <c r="D12" s="4"/>
      <c r="E12" s="2"/>
      <c r="F12" s="19"/>
      <c r="G12" s="19"/>
      <c r="H12" s="19"/>
      <c r="I12" s="19"/>
    </row>
    <row r="13" spans="2:9" x14ac:dyDescent="0.25">
      <c r="B13" s="3"/>
      <c r="C13" s="4"/>
      <c r="D13" s="4"/>
      <c r="E13" s="2"/>
      <c r="F13" s="19"/>
      <c r="G13" s="19"/>
      <c r="H13" s="19"/>
      <c r="I13" s="19"/>
    </row>
    <row r="14" spans="2:9" x14ac:dyDescent="0.25">
      <c r="B14" s="5"/>
      <c r="C14" s="7"/>
      <c r="D14" s="11" t="s">
        <v>14</v>
      </c>
      <c r="E14" s="12">
        <f>SUM(E4:E13)</f>
        <v>6.5000000000000018</v>
      </c>
      <c r="F14" s="6"/>
      <c r="G14" s="6"/>
      <c r="H14" s="6"/>
      <c r="I14" s="6"/>
    </row>
  </sheetData>
  <mergeCells count="12">
    <mergeCell ref="F13:I13"/>
    <mergeCell ref="B2:I2"/>
    <mergeCell ref="F3:I3"/>
    <mergeCell ref="F4:I4"/>
    <mergeCell ref="F5:I5"/>
    <mergeCell ref="F6:I6"/>
    <mergeCell ref="F7:I7"/>
    <mergeCell ref="F8:I8"/>
    <mergeCell ref="F9:I9"/>
    <mergeCell ref="F10:I10"/>
    <mergeCell ref="F11:I11"/>
    <mergeCell ref="F12:I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6328-9B9A-4BF0-A590-87E294C13DA0}">
  <dimension ref="B3:X45"/>
  <sheetViews>
    <sheetView tabSelected="1" topLeftCell="A13" workbookViewId="0">
      <selection activeCell="C38" sqref="C38"/>
    </sheetView>
  </sheetViews>
  <sheetFormatPr defaultRowHeight="15" x14ac:dyDescent="0.25"/>
  <cols>
    <col min="1" max="2" width="9.140625" style="1"/>
    <col min="3" max="4" width="10.7109375" style="1" bestFit="1" customWidth="1"/>
    <col min="5" max="17" width="9.140625" style="1"/>
    <col min="18" max="20" width="10.5703125" style="1" bestFit="1" customWidth="1"/>
    <col min="21" max="21" width="9.140625" style="1"/>
    <col min="22" max="22" width="12" style="1" bestFit="1" customWidth="1"/>
    <col min="23" max="23" width="10.5703125" style="1" bestFit="1" customWidth="1"/>
    <col min="24" max="24" width="12" style="1" bestFit="1" customWidth="1"/>
    <col min="25" max="16384" width="9.140625" style="1"/>
  </cols>
  <sheetData>
    <row r="3" spans="2:24" x14ac:dyDescent="0.25">
      <c r="B3" s="2" t="s">
        <v>22</v>
      </c>
      <c r="C3" s="2" t="s">
        <v>0</v>
      </c>
      <c r="D3" s="2" t="s">
        <v>23</v>
      </c>
      <c r="E3" s="2" t="s">
        <v>24</v>
      </c>
      <c r="F3" s="2" t="s">
        <v>26</v>
      </c>
      <c r="G3" s="19" t="s">
        <v>4</v>
      </c>
      <c r="H3" s="19"/>
      <c r="I3" s="19"/>
      <c r="J3" s="19"/>
      <c r="K3" s="19"/>
    </row>
    <row r="4" spans="2:24" x14ac:dyDescent="0.25">
      <c r="B4" s="2">
        <v>1</v>
      </c>
      <c r="C4" s="3">
        <v>45950</v>
      </c>
      <c r="D4" s="4">
        <v>0.45833333333333331</v>
      </c>
      <c r="E4" s="4">
        <v>0.5</v>
      </c>
      <c r="F4" s="2">
        <f>ABS((E4-D4)*24)</f>
        <v>1.0000000000000004</v>
      </c>
      <c r="G4" s="19" t="s">
        <v>25</v>
      </c>
      <c r="H4" s="19"/>
      <c r="I4" s="19"/>
      <c r="J4" s="19"/>
      <c r="K4" s="19"/>
    </row>
    <row r="5" spans="2:24" x14ac:dyDescent="0.25">
      <c r="B5" s="2">
        <v>1</v>
      </c>
      <c r="C5" s="3">
        <v>45950</v>
      </c>
      <c r="D5" s="4">
        <v>0.52083333333333337</v>
      </c>
      <c r="E5" s="4">
        <v>0.61805555555555558</v>
      </c>
      <c r="F5" s="8">
        <f>ABS((E5-D5)*24)</f>
        <v>2.333333333333333</v>
      </c>
      <c r="G5" s="19" t="s">
        <v>25</v>
      </c>
      <c r="H5" s="19"/>
      <c r="I5" s="19"/>
      <c r="J5" s="19"/>
      <c r="K5" s="19"/>
      <c r="S5" s="19" t="s">
        <v>28</v>
      </c>
      <c r="T5" s="19"/>
      <c r="U5" s="19" t="s">
        <v>27</v>
      </c>
      <c r="V5" s="19"/>
    </row>
    <row r="6" spans="2:24" ht="15" customHeight="1" x14ac:dyDescent="0.25">
      <c r="B6" s="2">
        <v>1</v>
      </c>
      <c r="C6" s="3">
        <v>45951</v>
      </c>
      <c r="D6" s="4">
        <v>0.45833333333333331</v>
      </c>
      <c r="E6" s="4">
        <v>0.48125000000000001</v>
      </c>
      <c r="F6" s="8">
        <f t="shared" ref="F6:F29" si="0">ABS((E6-D6)*24)</f>
        <v>0.55000000000000071</v>
      </c>
      <c r="G6" s="19" t="s">
        <v>25</v>
      </c>
      <c r="H6" s="19"/>
      <c r="I6" s="19"/>
      <c r="J6" s="19"/>
      <c r="K6" s="19"/>
      <c r="S6" s="19" t="s">
        <v>29</v>
      </c>
      <c r="T6" s="19"/>
      <c r="U6" s="23" t="s">
        <v>30</v>
      </c>
      <c r="V6" s="24"/>
    </row>
    <row r="7" spans="2:24" x14ac:dyDescent="0.25">
      <c r="B7" s="2">
        <v>1</v>
      </c>
      <c r="C7" s="3">
        <v>45951</v>
      </c>
      <c r="D7" s="4">
        <v>0.54166666666666663</v>
      </c>
      <c r="E7" s="4">
        <v>0.6875</v>
      </c>
      <c r="F7" s="8">
        <f t="shared" si="0"/>
        <v>3.5000000000000009</v>
      </c>
      <c r="G7" s="19" t="s">
        <v>25</v>
      </c>
      <c r="H7" s="19"/>
      <c r="I7" s="19"/>
      <c r="J7" s="19"/>
      <c r="K7" s="19"/>
      <c r="S7" s="19"/>
      <c r="T7" s="19"/>
      <c r="U7" s="24"/>
      <c r="V7" s="24"/>
    </row>
    <row r="8" spans="2:24" ht="15" customHeight="1" x14ac:dyDescent="0.25">
      <c r="B8" s="2">
        <v>1</v>
      </c>
      <c r="C8" s="3">
        <v>45952</v>
      </c>
      <c r="D8" s="4">
        <v>0.45833333333333331</v>
      </c>
      <c r="E8" s="4">
        <v>0.5</v>
      </c>
      <c r="F8" s="8">
        <f t="shared" si="0"/>
        <v>1.0000000000000004</v>
      </c>
      <c r="G8" s="19" t="s">
        <v>31</v>
      </c>
      <c r="H8" s="19"/>
      <c r="I8" s="19"/>
      <c r="J8" s="19"/>
      <c r="K8" s="19"/>
      <c r="S8"/>
      <c r="T8"/>
      <c r="U8"/>
      <c r="V8"/>
    </row>
    <row r="9" spans="2:24" x14ac:dyDescent="0.25">
      <c r="B9" s="2">
        <v>1</v>
      </c>
      <c r="C9" s="3">
        <v>45952</v>
      </c>
      <c r="D9" s="4">
        <v>0.54166666666666663</v>
      </c>
      <c r="E9" s="4">
        <v>0.61805555555555558</v>
      </c>
      <c r="F9" s="8">
        <f t="shared" si="0"/>
        <v>1.8333333333333348</v>
      </c>
      <c r="G9" s="19" t="s">
        <v>31</v>
      </c>
      <c r="H9" s="19"/>
      <c r="I9" s="19"/>
      <c r="J9" s="19"/>
      <c r="K9" s="19"/>
      <c r="S9"/>
      <c r="T9"/>
      <c r="U9"/>
      <c r="V9"/>
    </row>
    <row r="10" spans="2:24" x14ac:dyDescent="0.25">
      <c r="B10" s="2">
        <v>1</v>
      </c>
      <c r="C10" s="3">
        <v>45953</v>
      </c>
      <c r="D10" s="4">
        <v>0.54166666666666663</v>
      </c>
      <c r="E10" s="4">
        <v>0.625</v>
      </c>
      <c r="F10" s="8">
        <f t="shared" si="0"/>
        <v>2.0000000000000009</v>
      </c>
      <c r="G10" s="19" t="s">
        <v>25</v>
      </c>
      <c r="H10" s="19"/>
      <c r="I10" s="19"/>
      <c r="J10" s="19"/>
      <c r="K10" s="19"/>
      <c r="S10"/>
      <c r="T10"/>
      <c r="U10"/>
      <c r="V10"/>
    </row>
    <row r="11" spans="2:24" x14ac:dyDescent="0.25">
      <c r="B11" s="2">
        <v>1</v>
      </c>
      <c r="C11" s="3">
        <v>45954</v>
      </c>
      <c r="D11" s="4">
        <v>0.41666666666666669</v>
      </c>
      <c r="E11" s="4">
        <v>0.5</v>
      </c>
      <c r="F11" s="8">
        <f t="shared" si="0"/>
        <v>1.9999999999999996</v>
      </c>
      <c r="G11" s="19" t="s">
        <v>25</v>
      </c>
      <c r="H11" s="19"/>
      <c r="I11" s="19"/>
      <c r="J11" s="19"/>
      <c r="K11" s="19"/>
      <c r="S11"/>
      <c r="T11"/>
      <c r="U11"/>
      <c r="V11"/>
    </row>
    <row r="12" spans="2:24" x14ac:dyDescent="0.25">
      <c r="B12" s="15">
        <v>2</v>
      </c>
      <c r="C12" s="16">
        <v>45957</v>
      </c>
      <c r="D12" s="17">
        <v>0.45833333333333331</v>
      </c>
      <c r="E12" s="17">
        <v>0.5</v>
      </c>
      <c r="F12" s="18">
        <f t="shared" si="0"/>
        <v>1.0000000000000004</v>
      </c>
      <c r="G12" s="25" t="s">
        <v>31</v>
      </c>
      <c r="H12" s="25"/>
      <c r="I12" s="25"/>
      <c r="J12" s="25"/>
      <c r="K12" s="25"/>
      <c r="R12" s="13"/>
      <c r="S12" s="14"/>
      <c r="T12" s="14"/>
      <c r="U12"/>
      <c r="V12" s="14"/>
      <c r="W12" s="13"/>
      <c r="X12" s="13"/>
    </row>
    <row r="13" spans="2:24" x14ac:dyDescent="0.25">
      <c r="B13" s="15">
        <v>2</v>
      </c>
      <c r="C13" s="16">
        <v>45957</v>
      </c>
      <c r="D13" s="17">
        <v>0.54166666666666663</v>
      </c>
      <c r="E13" s="17">
        <v>0.60416666666666663</v>
      </c>
      <c r="F13" s="18">
        <f t="shared" si="0"/>
        <v>1.5</v>
      </c>
      <c r="G13" s="25" t="s">
        <v>31</v>
      </c>
      <c r="H13" s="25"/>
      <c r="I13" s="25"/>
      <c r="J13" s="25"/>
      <c r="K13" s="25"/>
      <c r="S13"/>
      <c r="T13"/>
      <c r="U13"/>
      <c r="V13" s="14"/>
    </row>
    <row r="14" spans="2:24" x14ac:dyDescent="0.25">
      <c r="B14" s="15">
        <v>2</v>
      </c>
      <c r="C14" s="16">
        <v>45958</v>
      </c>
      <c r="D14" s="17">
        <v>0.4375</v>
      </c>
      <c r="E14" s="17">
        <v>0.5</v>
      </c>
      <c r="F14" s="18">
        <f t="shared" si="0"/>
        <v>1.5</v>
      </c>
      <c r="G14" s="25" t="s">
        <v>31</v>
      </c>
      <c r="H14" s="25"/>
      <c r="I14" s="25"/>
      <c r="J14" s="25"/>
      <c r="K14" s="25"/>
      <c r="S14"/>
      <c r="T14"/>
      <c r="U14"/>
      <c r="V14"/>
    </row>
    <row r="15" spans="2:24" x14ac:dyDescent="0.25">
      <c r="B15" s="15">
        <v>2</v>
      </c>
      <c r="C15" s="16">
        <v>45958</v>
      </c>
      <c r="D15" s="17">
        <v>0.52083333333333337</v>
      </c>
      <c r="E15" s="17">
        <v>0.60416666666666663</v>
      </c>
      <c r="F15" s="18">
        <f t="shared" si="0"/>
        <v>1.9999999999999982</v>
      </c>
      <c r="G15" s="25" t="s">
        <v>31</v>
      </c>
      <c r="H15" s="25"/>
      <c r="I15" s="25"/>
      <c r="J15" s="25"/>
      <c r="K15" s="25"/>
      <c r="S15"/>
      <c r="T15"/>
      <c r="U15"/>
      <c r="V15"/>
    </row>
    <row r="16" spans="2:24" x14ac:dyDescent="0.25">
      <c r="B16" s="15">
        <v>2</v>
      </c>
      <c r="C16" s="16">
        <v>45959</v>
      </c>
      <c r="D16" s="17">
        <v>0.54166666666666663</v>
      </c>
      <c r="E16" s="17">
        <v>0.625</v>
      </c>
      <c r="F16" s="18">
        <f t="shared" si="0"/>
        <v>2.0000000000000009</v>
      </c>
      <c r="G16" s="25" t="s">
        <v>25</v>
      </c>
      <c r="H16" s="25"/>
      <c r="I16" s="25"/>
      <c r="J16" s="25"/>
      <c r="K16" s="25"/>
      <c r="S16"/>
      <c r="T16"/>
      <c r="U16"/>
      <c r="V16"/>
    </row>
    <row r="17" spans="2:22" x14ac:dyDescent="0.25">
      <c r="B17" s="15">
        <v>2</v>
      </c>
      <c r="C17" s="16">
        <v>45959</v>
      </c>
      <c r="D17" s="17">
        <v>0.41666666666666669</v>
      </c>
      <c r="E17" s="17">
        <v>0.5</v>
      </c>
      <c r="F17" s="18">
        <f t="shared" si="0"/>
        <v>1.9999999999999996</v>
      </c>
      <c r="G17" s="25" t="s">
        <v>25</v>
      </c>
      <c r="H17" s="25"/>
      <c r="I17" s="25"/>
      <c r="J17" s="25"/>
      <c r="K17" s="25"/>
      <c r="S17"/>
      <c r="T17"/>
      <c r="U17"/>
      <c r="V17"/>
    </row>
    <row r="18" spans="2:22" x14ac:dyDescent="0.25">
      <c r="B18" s="15">
        <v>2</v>
      </c>
      <c r="C18" s="16">
        <v>45960</v>
      </c>
      <c r="D18" s="17">
        <v>0.45833333333333331</v>
      </c>
      <c r="E18" s="17">
        <v>0.5</v>
      </c>
      <c r="F18" s="18">
        <f t="shared" si="0"/>
        <v>1.0000000000000004</v>
      </c>
      <c r="G18" s="25" t="s">
        <v>31</v>
      </c>
      <c r="H18" s="25"/>
      <c r="I18" s="25"/>
      <c r="J18" s="25"/>
      <c r="K18" s="25"/>
      <c r="S18"/>
      <c r="T18"/>
      <c r="U18"/>
      <c r="V18"/>
    </row>
    <row r="19" spans="2:22" x14ac:dyDescent="0.25">
      <c r="B19" s="15">
        <v>2</v>
      </c>
      <c r="C19" s="16">
        <v>45960</v>
      </c>
      <c r="D19" s="17">
        <v>0.54166666666666663</v>
      </c>
      <c r="E19" s="17">
        <v>0.60416666666666663</v>
      </c>
      <c r="F19" s="18">
        <f t="shared" si="0"/>
        <v>1.5</v>
      </c>
      <c r="G19" s="25" t="s">
        <v>31</v>
      </c>
      <c r="H19" s="25"/>
      <c r="I19" s="25"/>
      <c r="J19" s="25"/>
      <c r="K19" s="25"/>
      <c r="S19"/>
      <c r="T19"/>
      <c r="U19"/>
      <c r="V19"/>
    </row>
    <row r="20" spans="2:22" x14ac:dyDescent="0.25">
      <c r="B20" s="15">
        <v>2</v>
      </c>
      <c r="C20" s="16">
        <v>45961</v>
      </c>
      <c r="D20" s="17">
        <v>0.4375</v>
      </c>
      <c r="E20" s="17">
        <v>0.5</v>
      </c>
      <c r="F20" s="18">
        <f t="shared" si="0"/>
        <v>1.5</v>
      </c>
      <c r="G20" s="25" t="s">
        <v>31</v>
      </c>
      <c r="H20" s="25"/>
      <c r="I20" s="25"/>
      <c r="J20" s="25"/>
      <c r="K20" s="25"/>
      <c r="S20"/>
      <c r="T20"/>
      <c r="U20"/>
      <c r="V20"/>
    </row>
    <row r="21" spans="2:22" x14ac:dyDescent="0.25">
      <c r="B21" s="15">
        <v>2</v>
      </c>
      <c r="C21" s="16">
        <v>45961</v>
      </c>
      <c r="D21" s="17">
        <v>0.52083333333333337</v>
      </c>
      <c r="E21" s="17">
        <v>0.60416666666666663</v>
      </c>
      <c r="F21" s="18">
        <f t="shared" si="0"/>
        <v>1.9999999999999982</v>
      </c>
      <c r="G21" s="25" t="s">
        <v>31</v>
      </c>
      <c r="H21" s="25"/>
      <c r="I21" s="25"/>
      <c r="J21" s="25"/>
      <c r="K21" s="25"/>
    </row>
    <row r="22" spans="2:22" x14ac:dyDescent="0.25">
      <c r="B22" s="2">
        <v>3</v>
      </c>
      <c r="C22" s="3">
        <v>45964</v>
      </c>
      <c r="D22" s="4">
        <v>0.45833333333333331</v>
      </c>
      <c r="E22" s="4">
        <v>0.5</v>
      </c>
      <c r="F22" s="8">
        <f t="shared" si="0"/>
        <v>1.0000000000000004</v>
      </c>
      <c r="G22" s="19" t="s">
        <v>25</v>
      </c>
      <c r="H22" s="19"/>
      <c r="I22" s="19"/>
      <c r="J22" s="19"/>
      <c r="K22" s="19"/>
    </row>
    <row r="23" spans="2:22" x14ac:dyDescent="0.25">
      <c r="B23" s="2">
        <v>3</v>
      </c>
      <c r="C23" s="3">
        <v>45964</v>
      </c>
      <c r="D23" s="4">
        <v>0.53472222222222221</v>
      </c>
      <c r="E23" s="4">
        <v>0.63194444444444442</v>
      </c>
      <c r="F23" s="8">
        <f t="shared" si="0"/>
        <v>2.333333333333333</v>
      </c>
      <c r="G23" s="19" t="s">
        <v>25</v>
      </c>
      <c r="H23" s="19"/>
      <c r="I23" s="19"/>
      <c r="J23" s="19"/>
      <c r="K23" s="19"/>
    </row>
    <row r="24" spans="2:22" x14ac:dyDescent="0.25">
      <c r="B24" s="2">
        <v>3</v>
      </c>
      <c r="C24" s="3">
        <v>45965</v>
      </c>
      <c r="D24" s="4">
        <v>0.45833333333333331</v>
      </c>
      <c r="E24" s="4">
        <v>0.50347222222222221</v>
      </c>
      <c r="F24" s="8">
        <f t="shared" si="0"/>
        <v>1.0833333333333335</v>
      </c>
      <c r="G24" s="19" t="s">
        <v>25</v>
      </c>
      <c r="H24" s="19"/>
      <c r="I24" s="19"/>
      <c r="J24" s="19"/>
      <c r="K24" s="19"/>
    </row>
    <row r="25" spans="2:22" x14ac:dyDescent="0.25">
      <c r="B25" s="2">
        <v>3</v>
      </c>
      <c r="C25" s="3">
        <v>45965</v>
      </c>
      <c r="D25" s="4">
        <v>0.54166666666666663</v>
      </c>
      <c r="E25" s="4">
        <v>0.60763888888888884</v>
      </c>
      <c r="F25" s="8">
        <f t="shared" si="0"/>
        <v>1.583333333333333</v>
      </c>
      <c r="G25" s="19" t="s">
        <v>25</v>
      </c>
      <c r="H25" s="19"/>
      <c r="I25" s="19"/>
      <c r="J25" s="19"/>
      <c r="K25" s="19"/>
    </row>
    <row r="26" spans="2:22" x14ac:dyDescent="0.25">
      <c r="B26" s="2">
        <v>3</v>
      </c>
      <c r="C26" s="3">
        <v>45966</v>
      </c>
      <c r="D26" s="4">
        <v>0.375</v>
      </c>
      <c r="E26" s="4">
        <v>0.40277777777777779</v>
      </c>
      <c r="F26" s="8">
        <f t="shared" si="0"/>
        <v>0.66666666666666696</v>
      </c>
      <c r="G26" s="19" t="s">
        <v>31</v>
      </c>
      <c r="H26" s="19"/>
      <c r="I26" s="19"/>
      <c r="J26" s="19"/>
      <c r="K26" s="19"/>
    </row>
    <row r="27" spans="2:22" x14ac:dyDescent="0.25">
      <c r="B27" s="2">
        <v>3</v>
      </c>
      <c r="C27" s="3">
        <v>45966</v>
      </c>
      <c r="D27" s="4">
        <v>0.40277777777777779</v>
      </c>
      <c r="E27" s="4">
        <v>0.5</v>
      </c>
      <c r="F27" s="8">
        <f t="shared" si="0"/>
        <v>2.333333333333333</v>
      </c>
      <c r="G27" s="20" t="s">
        <v>32</v>
      </c>
      <c r="H27" s="21"/>
      <c r="I27" s="21"/>
      <c r="J27" s="21"/>
      <c r="K27" s="22"/>
    </row>
    <row r="28" spans="2:22" x14ac:dyDescent="0.25">
      <c r="B28" s="2">
        <v>3</v>
      </c>
      <c r="C28" s="3">
        <v>45966</v>
      </c>
      <c r="D28" s="4">
        <v>0.54166666666666663</v>
      </c>
      <c r="E28" s="4">
        <v>0.66666666666666663</v>
      </c>
      <c r="F28" s="8">
        <f t="shared" si="0"/>
        <v>3</v>
      </c>
      <c r="G28" s="20" t="s">
        <v>33</v>
      </c>
      <c r="H28" s="21"/>
      <c r="I28" s="21"/>
      <c r="J28" s="21"/>
      <c r="K28" s="22"/>
    </row>
    <row r="29" spans="2:22" x14ac:dyDescent="0.25">
      <c r="B29" s="2">
        <v>3</v>
      </c>
      <c r="C29" s="3">
        <v>45967</v>
      </c>
      <c r="D29" s="4">
        <v>0.5625</v>
      </c>
      <c r="E29" s="4">
        <v>0.64583333333333337</v>
      </c>
      <c r="F29" s="8">
        <f t="shared" si="0"/>
        <v>2.0000000000000009</v>
      </c>
      <c r="G29" s="20" t="s">
        <v>33</v>
      </c>
      <c r="H29" s="21"/>
      <c r="I29" s="21"/>
      <c r="J29" s="21"/>
      <c r="K29" s="22"/>
    </row>
    <row r="30" spans="2:22" x14ac:dyDescent="0.25">
      <c r="B30" s="2">
        <v>3</v>
      </c>
      <c r="C30" s="3">
        <v>45968</v>
      </c>
      <c r="D30" s="4">
        <v>0.375</v>
      </c>
      <c r="E30" s="4">
        <v>0.5</v>
      </c>
      <c r="F30" s="8">
        <f t="shared" ref="F30:F45" si="1">ABS((E30-D30)*24)</f>
        <v>3</v>
      </c>
      <c r="G30" s="20" t="s">
        <v>33</v>
      </c>
      <c r="H30" s="21"/>
      <c r="I30" s="21"/>
      <c r="J30" s="21"/>
      <c r="K30" s="22"/>
    </row>
    <row r="31" spans="2:22" x14ac:dyDescent="0.25">
      <c r="B31" s="2">
        <v>3</v>
      </c>
      <c r="C31" s="3">
        <v>45968</v>
      </c>
      <c r="D31" s="4">
        <v>0.54166666666666663</v>
      </c>
      <c r="E31" s="4">
        <v>0.625</v>
      </c>
      <c r="F31" s="8">
        <f t="shared" si="1"/>
        <v>2.0000000000000009</v>
      </c>
      <c r="G31" s="20" t="s">
        <v>33</v>
      </c>
      <c r="H31" s="21"/>
      <c r="I31" s="21"/>
      <c r="J31" s="21"/>
      <c r="K31" s="22"/>
    </row>
    <row r="32" spans="2:22" x14ac:dyDescent="0.25">
      <c r="B32" s="2">
        <v>4</v>
      </c>
      <c r="C32" s="3">
        <v>45971</v>
      </c>
      <c r="D32" s="4">
        <v>0.45833333333333331</v>
      </c>
      <c r="E32" s="4">
        <v>0.5</v>
      </c>
      <c r="F32" s="8">
        <f t="shared" si="1"/>
        <v>1.0000000000000004</v>
      </c>
      <c r="G32" s="20" t="s">
        <v>33</v>
      </c>
      <c r="H32" s="21"/>
      <c r="I32" s="21"/>
      <c r="J32" s="21"/>
      <c r="K32" s="22"/>
    </row>
    <row r="33" spans="2:11" x14ac:dyDescent="0.25">
      <c r="B33" s="2">
        <v>4</v>
      </c>
      <c r="C33" s="3">
        <v>45971</v>
      </c>
      <c r="D33" s="4">
        <v>0.54166666666666663</v>
      </c>
      <c r="E33" s="4">
        <v>0.625</v>
      </c>
      <c r="F33" s="8">
        <f t="shared" si="1"/>
        <v>2.0000000000000009</v>
      </c>
      <c r="G33" s="20" t="s">
        <v>34</v>
      </c>
      <c r="H33" s="21"/>
      <c r="I33" s="21"/>
      <c r="J33" s="21"/>
      <c r="K33" s="22"/>
    </row>
    <row r="34" spans="2:11" x14ac:dyDescent="0.25">
      <c r="B34" s="2">
        <v>4</v>
      </c>
      <c r="C34" s="3">
        <v>45972</v>
      </c>
      <c r="D34" s="4">
        <v>0.45833333333333331</v>
      </c>
      <c r="E34" s="4">
        <v>0.5</v>
      </c>
      <c r="F34" s="8">
        <f t="shared" si="1"/>
        <v>1.0000000000000004</v>
      </c>
      <c r="G34" s="20" t="s">
        <v>35</v>
      </c>
      <c r="H34" s="21"/>
      <c r="I34" s="21"/>
      <c r="J34" s="21"/>
      <c r="K34" s="22"/>
    </row>
    <row r="35" spans="2:11" x14ac:dyDescent="0.25">
      <c r="B35" s="2">
        <v>4</v>
      </c>
      <c r="C35" s="3">
        <v>45972</v>
      </c>
      <c r="D35" s="4">
        <v>0.54166666666666663</v>
      </c>
      <c r="E35" s="4">
        <v>0.625</v>
      </c>
      <c r="F35" s="8">
        <f t="shared" si="1"/>
        <v>2.0000000000000009</v>
      </c>
      <c r="G35" s="20" t="s">
        <v>36</v>
      </c>
      <c r="H35" s="21"/>
      <c r="I35" s="21"/>
      <c r="J35" s="21"/>
      <c r="K35" s="22"/>
    </row>
    <row r="36" spans="2:11" x14ac:dyDescent="0.25">
      <c r="B36" s="2"/>
      <c r="C36" s="3"/>
      <c r="D36" s="2"/>
      <c r="E36" s="2"/>
      <c r="F36" s="8">
        <f t="shared" si="1"/>
        <v>0</v>
      </c>
      <c r="G36" s="20"/>
      <c r="H36" s="21"/>
      <c r="I36" s="21"/>
      <c r="J36" s="21"/>
      <c r="K36" s="22"/>
    </row>
    <row r="37" spans="2:11" x14ac:dyDescent="0.25">
      <c r="B37" s="2"/>
      <c r="C37" s="3"/>
      <c r="D37" s="2"/>
      <c r="E37" s="2"/>
      <c r="F37" s="8">
        <f t="shared" si="1"/>
        <v>0</v>
      </c>
      <c r="G37" s="20"/>
      <c r="H37" s="21"/>
      <c r="I37" s="21"/>
      <c r="J37" s="21"/>
      <c r="K37" s="22"/>
    </row>
    <row r="38" spans="2:11" x14ac:dyDescent="0.25">
      <c r="B38" s="2"/>
      <c r="C38" s="3"/>
      <c r="D38" s="2"/>
      <c r="E38" s="2"/>
      <c r="F38" s="8">
        <f t="shared" si="1"/>
        <v>0</v>
      </c>
      <c r="G38" s="20"/>
      <c r="H38" s="21"/>
      <c r="I38" s="21"/>
      <c r="J38" s="21"/>
      <c r="K38" s="22"/>
    </row>
    <row r="39" spans="2:11" x14ac:dyDescent="0.25">
      <c r="B39" s="2"/>
      <c r="C39" s="3"/>
      <c r="D39" s="2"/>
      <c r="E39" s="2"/>
      <c r="F39" s="8">
        <f t="shared" si="1"/>
        <v>0</v>
      </c>
      <c r="G39" s="20"/>
      <c r="H39" s="21"/>
      <c r="I39" s="21"/>
      <c r="J39" s="21"/>
      <c r="K39" s="22"/>
    </row>
    <row r="40" spans="2:11" x14ac:dyDescent="0.25">
      <c r="B40" s="2"/>
      <c r="C40" s="3"/>
      <c r="D40" s="2"/>
      <c r="E40" s="2"/>
      <c r="F40" s="8">
        <f t="shared" si="1"/>
        <v>0</v>
      </c>
      <c r="G40" s="20"/>
      <c r="H40" s="21"/>
      <c r="I40" s="21"/>
      <c r="J40" s="21"/>
      <c r="K40" s="22"/>
    </row>
    <row r="41" spans="2:11" x14ac:dyDescent="0.25">
      <c r="B41" s="2"/>
      <c r="C41" s="3"/>
      <c r="D41" s="2"/>
      <c r="E41" s="2"/>
      <c r="F41" s="8">
        <f t="shared" si="1"/>
        <v>0</v>
      </c>
      <c r="G41" s="20"/>
      <c r="H41" s="21"/>
      <c r="I41" s="21"/>
      <c r="J41" s="21"/>
      <c r="K41" s="22"/>
    </row>
    <row r="42" spans="2:11" x14ac:dyDescent="0.25">
      <c r="B42" s="2"/>
      <c r="C42" s="3"/>
      <c r="D42" s="2"/>
      <c r="E42" s="2"/>
      <c r="F42" s="8">
        <f t="shared" si="1"/>
        <v>0</v>
      </c>
      <c r="G42" s="20"/>
      <c r="H42" s="21"/>
      <c r="I42" s="21"/>
      <c r="J42" s="21"/>
      <c r="K42" s="22"/>
    </row>
    <row r="43" spans="2:11" x14ac:dyDescent="0.25">
      <c r="B43" s="2"/>
      <c r="C43" s="3"/>
      <c r="D43" s="2"/>
      <c r="E43" s="2"/>
      <c r="F43" s="8">
        <f t="shared" si="1"/>
        <v>0</v>
      </c>
      <c r="G43" s="20"/>
      <c r="H43" s="21"/>
      <c r="I43" s="21"/>
      <c r="J43" s="21"/>
      <c r="K43" s="22"/>
    </row>
    <row r="44" spans="2:11" x14ac:dyDescent="0.25">
      <c r="B44" s="2"/>
      <c r="C44" s="3"/>
      <c r="D44" s="2"/>
      <c r="E44" s="2"/>
      <c r="F44" s="8">
        <f t="shared" si="1"/>
        <v>0</v>
      </c>
      <c r="G44" s="20"/>
      <c r="H44" s="21"/>
      <c r="I44" s="21"/>
      <c r="J44" s="21"/>
      <c r="K44" s="22"/>
    </row>
    <row r="45" spans="2:11" x14ac:dyDescent="0.25">
      <c r="B45" s="2"/>
      <c r="C45" s="3"/>
      <c r="D45" s="2"/>
      <c r="E45" s="2"/>
      <c r="F45" s="8">
        <f t="shared" si="1"/>
        <v>0</v>
      </c>
      <c r="G45" s="20"/>
      <c r="H45" s="21"/>
      <c r="I45" s="21"/>
      <c r="J45" s="21"/>
      <c r="K45" s="22"/>
    </row>
  </sheetData>
  <mergeCells count="47">
    <mergeCell ref="G27:K27"/>
    <mergeCell ref="G28:K28"/>
    <mergeCell ref="G29:K29"/>
    <mergeCell ref="G21:K21"/>
    <mergeCell ref="G22:K22"/>
    <mergeCell ref="G23:K23"/>
    <mergeCell ref="G24:K24"/>
    <mergeCell ref="G25:K25"/>
    <mergeCell ref="G26:K26"/>
    <mergeCell ref="G20:K20"/>
    <mergeCell ref="G9:K9"/>
    <mergeCell ref="G10:K10"/>
    <mergeCell ref="G11:K11"/>
    <mergeCell ref="G12:K12"/>
    <mergeCell ref="G13:K13"/>
    <mergeCell ref="G14:K14"/>
    <mergeCell ref="G15:K15"/>
    <mergeCell ref="G16:K16"/>
    <mergeCell ref="G17:K17"/>
    <mergeCell ref="G18:K18"/>
    <mergeCell ref="G19:K19"/>
    <mergeCell ref="G3:K3"/>
    <mergeCell ref="G4:K4"/>
    <mergeCell ref="G5:K5"/>
    <mergeCell ref="G6:K6"/>
    <mergeCell ref="G7:K7"/>
    <mergeCell ref="U5:V5"/>
    <mergeCell ref="U6:V7"/>
    <mergeCell ref="G8:K8"/>
    <mergeCell ref="S5:T5"/>
    <mergeCell ref="S6:T7"/>
    <mergeCell ref="G30:K30"/>
    <mergeCell ref="G31:K31"/>
    <mergeCell ref="G32:K32"/>
    <mergeCell ref="G33:K33"/>
    <mergeCell ref="G34:K34"/>
    <mergeCell ref="G35:K35"/>
    <mergeCell ref="G36:K36"/>
    <mergeCell ref="G37:K37"/>
    <mergeCell ref="G38:K38"/>
    <mergeCell ref="G39:K39"/>
    <mergeCell ref="G45:K45"/>
    <mergeCell ref="G40:K40"/>
    <mergeCell ref="G41:K41"/>
    <mergeCell ref="G42:K42"/>
    <mergeCell ref="G43:K43"/>
    <mergeCell ref="G44:K44"/>
  </mergeCells>
  <hyperlinks>
    <hyperlink ref="U6" r:id="rId1" xr:uid="{C20C1F99-1D02-49D1-A4F0-3A6675C39A16}"/>
  </hyperlinks>
  <pageMargins left="0.7" right="0.7" top="0.75" bottom="0.75" header="0.3" footer="0.3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W1</vt:lpstr>
      <vt:lpstr>W2</vt:lpstr>
      <vt:lpstr>W3</vt:lpstr>
      <vt:lpstr>W4</vt:lpstr>
      <vt:lpstr>W5</vt:lpstr>
      <vt:lpstr>Sem6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Bell</dc:creator>
  <cp:lastModifiedBy>Justin Bell</cp:lastModifiedBy>
  <dcterms:created xsi:type="dcterms:W3CDTF">2015-06-05T18:17:20Z</dcterms:created>
  <dcterms:modified xsi:type="dcterms:W3CDTF">2025-11-11T22:00:52Z</dcterms:modified>
</cp:coreProperties>
</file>